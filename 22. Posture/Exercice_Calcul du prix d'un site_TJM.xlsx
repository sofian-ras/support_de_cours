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neabadi/Desktop/"/>
    </mc:Choice>
  </mc:AlternateContent>
  <xr:revisionPtr revIDLastSave="155" documentId="8_{B163CDC5-8E60-944A-94CB-7A200CA58951}" xr6:coauthVersionLast="47" xr6:coauthVersionMax="47" xr10:uidLastSave="{A280C123-88AD-441D-BA79-4075CEE83788}"/>
  <bookViews>
    <workbookView xWindow="4800" yWindow="500" windowWidth="28800" windowHeight="15920" xr2:uid="{1C3034B7-B81D-E147-9E65-B2A28533E4E5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18" i="1"/>
  <c r="B4" i="1"/>
  <c r="B9" i="1"/>
  <c r="F12" i="1"/>
  <c r="B11" i="1"/>
  <c r="B2" i="1"/>
  <c r="B10" i="1"/>
  <c r="B15" i="1" l="1"/>
  <c r="B16" i="1"/>
  <c r="B19" i="1" s="1"/>
  <c r="B20" i="1"/>
  <c r="B22" i="1" s="1"/>
  <c r="B23" i="1" s="1"/>
  <c r="B26" i="1" s="1"/>
  <c r="B24" i="1" l="1"/>
</calcChain>
</file>

<file path=xl/sharedStrings.xml><?xml version="1.0" encoding="utf-8"?>
<sst xmlns="http://schemas.openxmlformats.org/spreadsheetml/2006/main" count="27" uniqueCount="27">
  <si>
    <t>Energie</t>
  </si>
  <si>
    <t>coworking</t>
  </si>
  <si>
    <t xml:space="preserve">abonnement veille / formation </t>
  </si>
  <si>
    <t>Fourniture d'entretien et petits équipements</t>
  </si>
  <si>
    <t>Location de logiciels et serveurs</t>
  </si>
  <si>
    <t>Primes d'assurances</t>
  </si>
  <si>
    <t>Catalogues et imprimés</t>
  </si>
  <si>
    <t>Frais de missions</t>
  </si>
  <si>
    <t>Carburant</t>
  </si>
  <si>
    <t>Rémunération mensuelle nette</t>
  </si>
  <si>
    <t>Frais postaux et de télécommunication</t>
  </si>
  <si>
    <t>Services bancaires</t>
  </si>
  <si>
    <t>Nombre de jour productif</t>
  </si>
  <si>
    <t>15 jours / mois sur 11 mois</t>
  </si>
  <si>
    <t>Immobilisations (Matériel informatique + téléphone)</t>
  </si>
  <si>
    <t>Nombre de jour productif par mois</t>
  </si>
  <si>
    <t>Impôt et taxes CFE</t>
  </si>
  <si>
    <t>Charges totales indirectes annuelles</t>
  </si>
  <si>
    <t>Charges totales indirectes journalières</t>
  </si>
  <si>
    <t>Rémunération nette / jour</t>
  </si>
  <si>
    <t>Charges indirectes journalières</t>
  </si>
  <si>
    <t>TOTAL</t>
  </si>
  <si>
    <t>Congés payés (fictif) Rem mensuelle nette/nombre de jour prod année</t>
  </si>
  <si>
    <r>
      <rPr>
        <b/>
        <sz val="12"/>
        <color rgb="FF000000"/>
        <rFont val="Calibri"/>
        <scheme val="minor"/>
      </rPr>
      <t xml:space="preserve">CE QUE JE FACTURE PAR JOUR </t>
    </r>
    <r>
      <rPr>
        <b/>
        <u/>
        <sz val="12"/>
        <color rgb="FF000000"/>
        <rFont val="Calibri"/>
        <scheme val="minor"/>
      </rPr>
      <t>SANS L'URSSAF</t>
    </r>
  </si>
  <si>
    <t>URSSAF 21,20% (100-21,2) EGAL 78,8  TARIF JOURNALIER MOYEN</t>
  </si>
  <si>
    <t>CE QUE JE FACTURE PAR JOUR AVEC L'URSSAF</t>
  </si>
  <si>
    <t>CHIFFRE D'AFFAIRES PAR 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</si>
</sst>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scheme val="minor"/>
    </font>
    <font>
      <b/>
      <u/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5ACC-879E-874D-8671-4D46D813D371}">
  <dimension ref="A2:F47"/>
  <sheetViews>
    <sheetView tabSelected="1" zoomScale="129" zoomScaleNormal="129" workbookViewId="0">
      <selection activeCell="D21" sqref="D21"/>
    </sheetView>
  </sheetViews>
  <sheetFormatPr defaultColWidth="11" defaultRowHeight="15.75" customHeight="1"/>
  <cols>
    <col min="1" max="1" width="59.375" customWidth="1"/>
    <col min="2" max="2" width="10.875" style="1"/>
    <col min="4" max="4" width="31.875" customWidth="1"/>
    <col min="5" max="5" width="22.625" bestFit="1" customWidth="1"/>
  </cols>
  <sheetData>
    <row r="2" spans="1:6">
      <c r="A2" t="s">
        <v>0</v>
      </c>
      <c r="B2" s="1">
        <f>30*12</f>
        <v>360</v>
      </c>
    </row>
    <row r="3" spans="1:6">
      <c r="A3" t="s">
        <v>1</v>
      </c>
      <c r="B3" s="1">
        <v>500</v>
      </c>
    </row>
    <row r="4" spans="1:6">
      <c r="A4" t="s">
        <v>2</v>
      </c>
      <c r="B4" s="1">
        <f>50*12</f>
        <v>600</v>
      </c>
    </row>
    <row r="5" spans="1:6">
      <c r="A5" t="s">
        <v>3</v>
      </c>
      <c r="B5" s="1">
        <v>300</v>
      </c>
    </row>
    <row r="6" spans="1:6">
      <c r="A6" t="s">
        <v>4</v>
      </c>
      <c r="B6" s="1">
        <v>1000</v>
      </c>
      <c r="C6" s="4"/>
    </row>
    <row r="7" spans="1:6">
      <c r="A7" t="s">
        <v>5</v>
      </c>
      <c r="B7" s="1">
        <v>100</v>
      </c>
    </row>
    <row r="8" spans="1:6">
      <c r="A8" t="s">
        <v>6</v>
      </c>
      <c r="B8" s="1">
        <v>50</v>
      </c>
    </row>
    <row r="9" spans="1:6">
      <c r="A9" t="s">
        <v>7</v>
      </c>
      <c r="B9" s="1">
        <f>30*12</f>
        <v>360</v>
      </c>
      <c r="C9" s="4"/>
    </row>
    <row r="10" spans="1:6">
      <c r="A10" t="s">
        <v>8</v>
      </c>
      <c r="B10" s="1">
        <f>50*11</f>
        <v>550</v>
      </c>
      <c r="D10" s="2" t="s">
        <v>9</v>
      </c>
      <c r="E10" s="3">
        <v>2500</v>
      </c>
    </row>
    <row r="11" spans="1:6">
      <c r="A11" t="s">
        <v>10</v>
      </c>
      <c r="B11" s="1">
        <f>(20*12)+(35*12)</f>
        <v>660</v>
      </c>
    </row>
    <row r="12" spans="1:6" ht="15.95" customHeight="1">
      <c r="A12" t="s">
        <v>11</v>
      </c>
      <c r="B12" s="1">
        <v>300</v>
      </c>
      <c r="C12" s="4"/>
      <c r="D12" t="s">
        <v>12</v>
      </c>
      <c r="E12" t="s">
        <v>13</v>
      </c>
      <c r="F12" s="2">
        <f>15*11</f>
        <v>165</v>
      </c>
    </row>
    <row r="13" spans="1:6" ht="16.5">
      <c r="A13" t="s">
        <v>14</v>
      </c>
      <c r="B13" s="1">
        <v>1000</v>
      </c>
      <c r="D13" s="5" t="s">
        <v>15</v>
      </c>
      <c r="E13">
        <v>15</v>
      </c>
    </row>
    <row r="14" spans="1:6">
      <c r="A14" t="s">
        <v>16</v>
      </c>
      <c r="B14" s="1">
        <v>500</v>
      </c>
    </row>
    <row r="15" spans="1:6">
      <c r="A15" s="2" t="s">
        <v>17</v>
      </c>
      <c r="B15" s="3">
        <f>SUM(B2:B14)</f>
        <v>6280</v>
      </c>
    </row>
    <row r="16" spans="1:6">
      <c r="A16" s="2" t="s">
        <v>18</v>
      </c>
      <c r="B16" s="1">
        <f>B15/F12</f>
        <v>38.060606060606062</v>
      </c>
    </row>
    <row r="17" spans="1:6"/>
    <row r="18" spans="1:6">
      <c r="A18" t="s">
        <v>19</v>
      </c>
      <c r="B18" s="1">
        <f>E10/15</f>
        <v>166.66666666666666</v>
      </c>
    </row>
    <row r="19" spans="1:6">
      <c r="A19" t="s">
        <v>20</v>
      </c>
      <c r="B19" s="1">
        <f>B16</f>
        <v>38.060606060606062</v>
      </c>
    </row>
    <row r="20" spans="1:6">
      <c r="A20" s="2" t="s">
        <v>21</v>
      </c>
      <c r="B20" s="3">
        <f>B18+B19</f>
        <v>204.72727272727272</v>
      </c>
    </row>
    <row r="21" spans="1:6" ht="32.25">
      <c r="A21" s="5" t="s">
        <v>22</v>
      </c>
      <c r="B21" s="1">
        <f>(E10/F12)</f>
        <v>15.151515151515152</v>
      </c>
    </row>
    <row r="22" spans="1:6" s="8" customFormat="1" ht="16.5">
      <c r="A22" s="9" t="s">
        <v>23</v>
      </c>
      <c r="B22" s="7">
        <f>B20+B21</f>
        <v>219.87878787878788</v>
      </c>
    </row>
    <row r="23" spans="1:6">
      <c r="A23" s="2" t="s">
        <v>24</v>
      </c>
      <c r="B23" s="3">
        <f>B22/0.788</f>
        <v>279.03399477003535</v>
      </c>
    </row>
    <row r="24" spans="1:6" ht="16.5">
      <c r="A24" s="6" t="s">
        <v>25</v>
      </c>
      <c r="B24" s="7">
        <f>B23</f>
        <v>279.03399477003535</v>
      </c>
      <c r="C24" s="8"/>
      <c r="D24" s="8"/>
      <c r="E24" s="8"/>
      <c r="F24" s="8"/>
    </row>
    <row r="25" spans="1:6">
      <c r="A25" s="6"/>
      <c r="B25" s="7"/>
      <c r="C25" s="8"/>
      <c r="D25" s="8"/>
      <c r="E25" s="8"/>
      <c r="F25" s="8"/>
    </row>
    <row r="26" spans="1:6">
      <c r="A26" t="s">
        <v>26</v>
      </c>
      <c r="B26" s="1">
        <f>B23*E13</f>
        <v>4185.5099215505306</v>
      </c>
      <c r="C26" s="4"/>
    </row>
    <row r="27" spans="1:6"/>
    <row r="28" spans="1:6"/>
    <row r="29" spans="1:6"/>
    <row r="30" spans="1:6"/>
    <row r="31" spans="1:6"/>
    <row r="32" spans="1:6"/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0" ma:contentTypeDescription="Crée un document." ma:contentTypeScope="" ma:versionID="c0ad2ac6221a0f0b405e86b0945623c3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7f21eabbb3159abb5ac69abae6a09efa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DC43E9-95C7-4FE2-8E37-863F88315808}"/>
</file>

<file path=customXml/itemProps2.xml><?xml version="1.0" encoding="utf-8"?>
<ds:datastoreItem xmlns:ds="http://schemas.openxmlformats.org/officeDocument/2006/customXml" ds:itemID="{5ECE7892-4885-4A42-9575-4F927315B1E4}"/>
</file>

<file path=customXml/itemProps3.xml><?xml version="1.0" encoding="utf-8"?>
<ds:datastoreItem xmlns:ds="http://schemas.openxmlformats.org/officeDocument/2006/customXml" ds:itemID="{BF4ED5F6-2F42-4F7D-9547-2F65ACF02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ihab abadi</dc:creator>
  <cp:keywords/>
  <dc:description/>
  <cp:lastModifiedBy>Marine Abadi</cp:lastModifiedBy>
  <cp:revision/>
  <dcterms:created xsi:type="dcterms:W3CDTF">2022-03-30T08:15:51Z</dcterms:created>
  <dcterms:modified xsi:type="dcterms:W3CDTF">2025-05-07T08:43:32Z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  <property fmtid="{D5CDD505-2E9C-101B-9397-08002B2CF9AE}" pid="3" name="MediaServiceImageTags">
    <vt:lpwstr/>
  </property>
</Properties>
</file>