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neabadi/Desktop/"/>
    </mc:Choice>
  </mc:AlternateContent>
  <xr:revisionPtr revIDLastSave="9" documentId="8_{B163CDC5-8E60-944A-94CB-7A200CA58951}" xr6:coauthVersionLast="47" xr6:coauthVersionMax="47" xr10:uidLastSave="{12405768-33A7-4429-ACE8-7BF7565FB694}"/>
  <bookViews>
    <workbookView xWindow="4800" yWindow="500" windowWidth="28800" windowHeight="15920" xr2:uid="{1C3034B7-B81D-E147-9E65-B2A28533E4E5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0" i="1"/>
  <c r="B24" i="1"/>
  <c r="B18" i="1"/>
  <c r="B17" i="1"/>
  <c r="G19" i="1"/>
  <c r="B16" i="1"/>
  <c r="C10" i="1"/>
  <c r="C13" i="1"/>
  <c r="C5" i="1"/>
  <c r="B12" i="1"/>
  <c r="B4" i="1"/>
  <c r="B2" i="1"/>
  <c r="B11" i="1"/>
  <c r="B19" i="1" l="1"/>
  <c r="C37" i="1" l="1"/>
  <c r="D37" i="1" s="1"/>
</calcChain>
</file>

<file path=xl/sharedStrings.xml><?xml version="1.0" encoding="utf-8"?>
<sst xmlns="http://schemas.openxmlformats.org/spreadsheetml/2006/main" count="42" uniqueCount="38">
  <si>
    <t>Eau, énergie</t>
  </si>
  <si>
    <t>Fourniture d'entretien et petits équipements</t>
  </si>
  <si>
    <t>Location de locaux professionnels</t>
  </si>
  <si>
    <t>Location de logiciels et serveurs</t>
  </si>
  <si>
    <t>Primes d'assurances RC PRO</t>
  </si>
  <si>
    <t>Frais d'actes</t>
  </si>
  <si>
    <t>Annonces et insertions</t>
  </si>
  <si>
    <t>Catalogues et imprimés</t>
  </si>
  <si>
    <t>Frais de missions</t>
  </si>
  <si>
    <t>Carburant / frais kilométriques</t>
  </si>
  <si>
    <t>Rémunération mensuelle nette</t>
  </si>
  <si>
    <t>Frais postaux et de télécommunication</t>
  </si>
  <si>
    <t>Services bancaires</t>
  </si>
  <si>
    <t>Immobilisations</t>
  </si>
  <si>
    <t xml:space="preserve">Nombre de jours travaillés par an </t>
  </si>
  <si>
    <t>jours/an</t>
  </si>
  <si>
    <t>Impôt et taxes CFE</t>
  </si>
  <si>
    <t xml:space="preserve">Formation </t>
  </si>
  <si>
    <t>Charges totales indirectes</t>
  </si>
  <si>
    <t>Démarchage</t>
  </si>
  <si>
    <t>Coût indirect journalier</t>
  </si>
  <si>
    <t>Taux de charge</t>
  </si>
  <si>
    <t>Gestion</t>
  </si>
  <si>
    <t>Rémunération du personnel</t>
  </si>
  <si>
    <t>Charges sociales</t>
  </si>
  <si>
    <t>Nombre de jour productif</t>
  </si>
  <si>
    <t>Cout indirect + coût de la prestation de service (salaire)</t>
  </si>
  <si>
    <t>Achats d'études et prestations de services (dont sous-traitance)</t>
  </si>
  <si>
    <t>Nombre de jours de réalisation</t>
  </si>
  <si>
    <t>Montant total</t>
  </si>
  <si>
    <t xml:space="preserve">Nombre de jour </t>
  </si>
  <si>
    <t>Contact client</t>
  </si>
  <si>
    <t>recherche Design / Wireframes / Maquettage</t>
  </si>
  <si>
    <t>Création de pages</t>
  </si>
  <si>
    <t>Plug in et animations</t>
  </si>
  <si>
    <t>Correction</t>
  </si>
  <si>
    <t>Formation + livraison</t>
  </si>
  <si>
    <t>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</si>
</sst>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5ACC-879E-874D-8671-4D46D813D371}">
  <dimension ref="A2:H38"/>
  <sheetViews>
    <sheetView tabSelected="1" topLeftCell="A7" zoomScale="129" zoomScaleNormal="129" workbookViewId="0">
      <selection activeCell="A36" sqref="A36"/>
    </sheetView>
  </sheetViews>
  <sheetFormatPr defaultColWidth="11" defaultRowHeight="15.95"/>
  <cols>
    <col min="1" max="1" width="54.875" customWidth="1"/>
    <col min="2" max="2" width="10.875" style="1"/>
    <col min="5" max="5" width="15.875" customWidth="1"/>
    <col min="6" max="6" width="28.125" customWidth="1"/>
  </cols>
  <sheetData>
    <row r="2" spans="1:8">
      <c r="A2" t="s">
        <v>0</v>
      </c>
      <c r="B2" s="1">
        <f>30*12</f>
        <v>360</v>
      </c>
    </row>
    <row r="3" spans="1:8">
      <c r="A3" t="s">
        <v>1</v>
      </c>
      <c r="B3" s="1">
        <v>300</v>
      </c>
    </row>
    <row r="4" spans="1:8">
      <c r="A4" t="s">
        <v>2</v>
      </c>
      <c r="B4" s="1">
        <f>200*12</f>
        <v>2400</v>
      </c>
    </row>
    <row r="5" spans="1:8">
      <c r="A5" t="s">
        <v>3</v>
      </c>
      <c r="B5" s="1">
        <v>1000</v>
      </c>
      <c r="C5" s="6">
        <f>B5/12</f>
        <v>83.333333333333329</v>
      </c>
    </row>
    <row r="6" spans="1:8">
      <c r="A6" t="s">
        <v>4</v>
      </c>
      <c r="B6" s="1">
        <v>100</v>
      </c>
    </row>
    <row r="7" spans="1:8">
      <c r="A7" t="s">
        <v>5</v>
      </c>
      <c r="B7" s="1">
        <v>100</v>
      </c>
    </row>
    <row r="8" spans="1:8">
      <c r="A8" t="s">
        <v>6</v>
      </c>
      <c r="B8" s="1">
        <v>150</v>
      </c>
    </row>
    <row r="9" spans="1:8">
      <c r="A9" t="s">
        <v>7</v>
      </c>
      <c r="B9" s="1">
        <v>50</v>
      </c>
    </row>
    <row r="10" spans="1:8">
      <c r="A10" t="s">
        <v>8</v>
      </c>
      <c r="B10" s="1">
        <v>500</v>
      </c>
      <c r="C10" s="6">
        <f>B10/210</f>
        <v>2.3809523809523809</v>
      </c>
    </row>
    <row r="11" spans="1:8">
      <c r="A11" t="s">
        <v>9</v>
      </c>
      <c r="B11" s="1">
        <f>50*11</f>
        <v>550</v>
      </c>
      <c r="F11" s="2" t="s">
        <v>10</v>
      </c>
      <c r="G11" s="3">
        <v>3000</v>
      </c>
    </row>
    <row r="12" spans="1:8">
      <c r="A12" t="s">
        <v>11</v>
      </c>
      <c r="B12" s="1">
        <f>(20*12)+(35*12)</f>
        <v>660</v>
      </c>
    </row>
    <row r="13" spans="1:8" ht="15.95" customHeight="1">
      <c r="A13" t="s">
        <v>12</v>
      </c>
      <c r="B13" s="1">
        <v>300</v>
      </c>
      <c r="C13" s="6">
        <f>B13/12</f>
        <v>25</v>
      </c>
    </row>
    <row r="14" spans="1:8">
      <c r="A14" t="s">
        <v>13</v>
      </c>
      <c r="B14" s="1">
        <v>1000</v>
      </c>
      <c r="F14" t="s">
        <v>14</v>
      </c>
      <c r="G14">
        <v>230</v>
      </c>
      <c r="H14" t="s">
        <v>15</v>
      </c>
    </row>
    <row r="15" spans="1:8">
      <c r="A15" t="s">
        <v>16</v>
      </c>
      <c r="B15" s="1">
        <v>500</v>
      </c>
      <c r="F15" t="s">
        <v>17</v>
      </c>
      <c r="G15">
        <v>12</v>
      </c>
      <c r="H15" t="s">
        <v>15</v>
      </c>
    </row>
    <row r="16" spans="1:8">
      <c r="A16" s="2" t="s">
        <v>18</v>
      </c>
      <c r="B16" s="1">
        <f>SUM(B2:B15)</f>
        <v>7970</v>
      </c>
      <c r="F16" t="s">
        <v>19</v>
      </c>
      <c r="G16">
        <v>20</v>
      </c>
      <c r="H16" t="s">
        <v>15</v>
      </c>
    </row>
    <row r="17" spans="1:8">
      <c r="A17" s="2" t="s">
        <v>20</v>
      </c>
      <c r="B17" s="3">
        <f>B16/190</f>
        <v>41.94736842105263</v>
      </c>
      <c r="C17" t="s">
        <v>21</v>
      </c>
      <c r="F17" t="s">
        <v>22</v>
      </c>
      <c r="G17">
        <v>8</v>
      </c>
      <c r="H17" t="s">
        <v>15</v>
      </c>
    </row>
    <row r="18" spans="1:8">
      <c r="A18" t="s">
        <v>23</v>
      </c>
      <c r="B18" s="1">
        <f>(G11*12)/G19</f>
        <v>189.47368421052633</v>
      </c>
      <c r="C18" s="5">
        <v>0.4</v>
      </c>
    </row>
    <row r="19" spans="1:8">
      <c r="A19" t="s">
        <v>24</v>
      </c>
      <c r="B19" s="1">
        <f>B18*C18</f>
        <v>75.789473684210535</v>
      </c>
      <c r="F19" s="2" t="s">
        <v>25</v>
      </c>
      <c r="G19">
        <f>G14-G15-G16-G17</f>
        <v>190</v>
      </c>
      <c r="H19" t="s">
        <v>15</v>
      </c>
    </row>
    <row r="20" spans="1:8">
      <c r="A20" s="2" t="s">
        <v>26</v>
      </c>
      <c r="B20" s="3">
        <f>B17+B18+B19</f>
        <v>307.21052631578948</v>
      </c>
    </row>
    <row r="21" spans="1:8">
      <c r="F21" s="2"/>
    </row>
    <row r="22" spans="1:8">
      <c r="A22" t="s">
        <v>27</v>
      </c>
      <c r="B22" s="1">
        <v>0</v>
      </c>
    </row>
    <row r="24" spans="1:8">
      <c r="A24" t="s">
        <v>28</v>
      </c>
      <c r="B24" s="4">
        <f>SUM(B29:B35)</f>
        <v>10</v>
      </c>
    </row>
    <row r="25" spans="1:8">
      <c r="A25" t="s">
        <v>29</v>
      </c>
      <c r="B25" s="1">
        <f>(B20*B24)+B22</f>
        <v>3072.105263157895</v>
      </c>
      <c r="F25" s="6"/>
    </row>
    <row r="26" spans="1:8">
      <c r="F26" s="6"/>
    </row>
    <row r="27" spans="1:8">
      <c r="F27" s="6"/>
    </row>
    <row r="28" spans="1:8">
      <c r="A28" s="2" t="s">
        <v>30</v>
      </c>
      <c r="F28" s="6"/>
    </row>
    <row r="29" spans="1:8">
      <c r="A29" t="s">
        <v>31</v>
      </c>
      <c r="B29" s="4">
        <v>1.5</v>
      </c>
      <c r="F29" s="6"/>
    </row>
    <row r="30" spans="1:8">
      <c r="A30" t="s">
        <v>32</v>
      </c>
      <c r="B30" s="4">
        <v>4</v>
      </c>
    </row>
    <row r="31" spans="1:8">
      <c r="A31" t="s">
        <v>33</v>
      </c>
      <c r="B31" s="4">
        <v>2</v>
      </c>
    </row>
    <row r="32" spans="1:8">
      <c r="A32" t="s">
        <v>34</v>
      </c>
      <c r="B32" s="4">
        <v>1</v>
      </c>
    </row>
    <row r="33" spans="1:4">
      <c r="A33" t="s">
        <v>35</v>
      </c>
      <c r="B33" s="4">
        <v>1</v>
      </c>
    </row>
    <row r="34" spans="1:4">
      <c r="B34" s="4"/>
    </row>
    <row r="35" spans="1:4">
      <c r="A35" t="s">
        <v>36</v>
      </c>
      <c r="B35" s="4">
        <v>0.5</v>
      </c>
    </row>
    <row r="37" spans="1:4">
      <c r="B37" s="4">
        <v>10</v>
      </c>
      <c r="C37" s="6">
        <f>B20</f>
        <v>307.21052631578948</v>
      </c>
      <c r="D37">
        <f>C37*B37</f>
        <v>3072.105263157895</v>
      </c>
    </row>
    <row r="38" spans="1:4">
      <c r="B38" s="1" t="s">
        <v>37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c0ad2ac6221a0f0b405e86b0945623c3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7f21eabbb3159abb5ac69abae6a09efa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CE7892-4885-4A42-9575-4F927315B1E4}"/>
</file>

<file path=customXml/itemProps2.xml><?xml version="1.0" encoding="utf-8"?>
<ds:datastoreItem xmlns:ds="http://schemas.openxmlformats.org/officeDocument/2006/customXml" ds:itemID="{277F5919-D06C-4E5E-99BA-990D78ECE6C2}"/>
</file>

<file path=customXml/itemProps3.xml><?xml version="1.0" encoding="utf-8"?>
<ds:datastoreItem xmlns:ds="http://schemas.openxmlformats.org/officeDocument/2006/customXml" ds:itemID="{34DC43E9-95C7-4FE2-8E37-863F883158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ihab abadi</dc:creator>
  <cp:keywords/>
  <dc:description/>
  <cp:lastModifiedBy>Marine Abadi</cp:lastModifiedBy>
  <cp:revision/>
  <dcterms:created xsi:type="dcterms:W3CDTF">2022-03-30T08:15:51Z</dcterms:created>
  <dcterms:modified xsi:type="dcterms:W3CDTF">2025-05-07T08:01:48Z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  <property fmtid="{D5CDD505-2E9C-101B-9397-08002B2CF9AE}" pid="3" name="MediaServiceImageTags">
    <vt:lpwstr/>
  </property>
</Properties>
</file>